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9" i="1" l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E8" i="1" l="1"/>
  <c r="D9" i="1" l="1"/>
  <c r="E9" i="1" s="1"/>
  <c r="D10" i="1" l="1"/>
  <c r="E10" i="1" s="1"/>
  <c r="D11" i="1" l="1"/>
  <c r="E11" i="1" l="1"/>
  <c r="D12" i="1" s="1"/>
  <c r="E12" i="1" l="1"/>
  <c r="D13" i="1" s="1"/>
  <c r="E13" i="1" s="1"/>
  <c r="D14" i="1" s="1"/>
  <c r="E14" i="1" s="1"/>
  <c r="D15" i="1" s="1"/>
  <c r="E15" i="1" s="1"/>
  <c r="D16" i="1" l="1"/>
  <c r="E16" i="1" s="1"/>
  <c r="D17" i="1" l="1"/>
  <c r="E17" i="1" l="1"/>
  <c r="D18" i="1" s="1"/>
  <c r="E18" i="1" s="1"/>
  <c r="D19" i="1" s="1"/>
  <c r="E19" i="1" s="1"/>
  <c r="D20" i="1" l="1"/>
  <c r="E20" i="1" s="1"/>
  <c r="D21" i="1" l="1"/>
  <c r="E21" i="1" s="1"/>
  <c r="D22" i="1" l="1"/>
  <c r="E22" i="1" s="1"/>
  <c r="D23" i="1" l="1"/>
  <c r="E23" i="1" s="1"/>
  <c r="D24" i="1" l="1"/>
  <c r="E24" i="1" s="1"/>
  <c r="D25" i="1" l="1"/>
  <c r="E25" i="1" s="1"/>
  <c r="D26" i="1" l="1"/>
  <c r="E26" i="1" s="1"/>
  <c r="D27" i="1" l="1"/>
  <c r="E27" i="1" s="1"/>
  <c r="D28" i="1" l="1"/>
  <c r="E28" i="1" s="1"/>
  <c r="D29" i="1" l="1"/>
  <c r="E29" i="1" s="1"/>
  <c r="D30" i="1" l="1"/>
  <c r="E30" i="1" s="1"/>
  <c r="D31" i="1" l="1"/>
  <c r="E31" i="1" s="1"/>
  <c r="D32" i="1" l="1"/>
  <c r="E32" i="1" s="1"/>
  <c r="D33" i="1" l="1"/>
  <c r="E33" i="1" s="1"/>
  <c r="D34" i="1" l="1"/>
  <c r="E34" i="1" s="1"/>
  <c r="D35" i="1" l="1"/>
  <c r="E35" i="1" s="1"/>
  <c r="D36" i="1" l="1"/>
  <c r="E36" i="1" s="1"/>
  <c r="D37" i="1" l="1"/>
  <c r="E37" i="1" s="1"/>
  <c r="D38" i="1" l="1"/>
  <c r="E38" i="1" s="1"/>
  <c r="D39" i="1" l="1"/>
  <c r="E39" i="1" s="1"/>
  <c r="D40" i="1" l="1"/>
  <c r="E40" i="1" s="1"/>
  <c r="D41" i="1" l="1"/>
  <c r="E41" i="1" s="1"/>
  <c r="D42" i="1" l="1"/>
  <c r="E42" i="1" s="1"/>
  <c r="D43" i="1" l="1"/>
  <c r="E43" i="1" s="1"/>
  <c r="D44" i="1" s="1"/>
  <c r="E44" i="1" s="1"/>
  <c r="D45" i="1" s="1"/>
  <c r="E45" i="1" s="1"/>
  <c r="D46" i="1" s="1"/>
  <c r="E46" i="1" s="1"/>
  <c r="D47" i="1" s="1"/>
  <c r="E47" i="1" s="1"/>
  <c r="D48" i="1" s="1"/>
  <c r="E48" i="1" s="1"/>
  <c r="D49" i="1" s="1"/>
  <c r="E49" i="1" s="1"/>
  <c r="D50" i="1" s="1"/>
  <c r="E50" i="1" s="1"/>
  <c r="D51" i="1" s="1"/>
  <c r="E51" i="1" s="1"/>
  <c r="D52" i="1" s="1"/>
  <c r="E52" i="1" s="1"/>
  <c r="D53" i="1" s="1"/>
  <c r="E53" i="1" s="1"/>
  <c r="D54" i="1" s="1"/>
  <c r="E54" i="1" s="1"/>
  <c r="D55" i="1" s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67" i="1" s="1"/>
  <c r="D68" i="1" s="1"/>
  <c r="E68" i="1" s="1"/>
</calcChain>
</file>

<file path=xl/sharedStrings.xml><?xml version="1.0" encoding="utf-8"?>
<sst xmlns="http://schemas.openxmlformats.org/spreadsheetml/2006/main" count="12" uniqueCount="12">
  <si>
    <t>Năm</t>
  </si>
  <si>
    <t>Tháng 12</t>
  </si>
  <si>
    <t>Tháng  6</t>
  </si>
  <si>
    <t>Mỗi tháng bỏ ra 5 triệu VNĐ</t>
  </si>
  <si>
    <t>Lãi suất 5%/ 6 tháng</t>
  </si>
  <si>
    <t>Tháng</t>
  </si>
  <si>
    <t>&lt;=&gt; FX</t>
  </si>
  <si>
    <t>vốn khởi đầu</t>
  </si>
  <si>
    <t>Mỗi tháng bỏ 
100USD trade ( 1/2 jack)</t>
  </si>
  <si>
    <t>lãi 15% 1 tháng</t>
  </si>
  <si>
    <t>năm thứ 3</t>
  </si>
  <si>
    <t xml:space="preserve">năm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</si>
</sst>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 vertical="center"/>
    </xf>
    <xf numFmtId="0" fontId="0" fillId="2" borderId="0" xfId="0" applyFill="1"/>
    <xf numFmtId="42" fontId="0" fillId="0" borderId="0" xfId="1" applyNumberFormat="1" applyFont="1"/>
    <xf numFmtId="42" fontId="0" fillId="0" borderId="0" xfId="1" applyNumberFormat="1" applyFont="1" applyAlignment="1">
      <alignment horizontal="right"/>
    </xf>
    <xf numFmtId="42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68"/>
  <sheetViews>
    <sheetView tabSelected="1" zoomScale="145" zoomScaleNormal="145" workbookViewId="0">
      <selection activeCell="J16" sqref="J16"/>
    </sheetView>
  </sheetViews>
  <sheetFormatPr defaultRowHeight="15" x14ac:dyDescent="0.25"/>
  <cols>
    <col min="4" max="4" width="26.140625" customWidth="1"/>
    <col min="5" max="5" width="22.85546875" customWidth="1"/>
    <col min="7" max="7" width="10.42578125" customWidth="1"/>
    <col min="8" max="8" width="20.28515625" customWidth="1"/>
    <col min="9" max="9" width="27.7109375" customWidth="1"/>
    <col min="10" max="10" width="19.7109375" customWidth="1"/>
  </cols>
  <sheetData>
    <row r="4" spans="3:10" ht="4.5" customHeight="1" x14ac:dyDescent="0.25"/>
    <row r="5" spans="3:10" x14ac:dyDescent="0.25">
      <c r="D5" s="1" t="s">
        <v>3</v>
      </c>
      <c r="E5" s="3" t="s">
        <v>4</v>
      </c>
      <c r="F5" s="2"/>
      <c r="H5" s="8" t="s">
        <v>8</v>
      </c>
      <c r="I5" s="2" t="s">
        <v>9</v>
      </c>
      <c r="J5" t="s">
        <v>6</v>
      </c>
    </row>
    <row r="6" spans="3:10" ht="47.25" customHeight="1" x14ac:dyDescent="0.25">
      <c r="H6" s="9"/>
    </row>
    <row r="7" spans="3:10" x14ac:dyDescent="0.25">
      <c r="C7" t="s">
        <v>0</v>
      </c>
      <c r="D7" t="s">
        <v>2</v>
      </c>
      <c r="E7" t="s">
        <v>1</v>
      </c>
      <c r="G7" t="s">
        <v>5</v>
      </c>
    </row>
    <row r="8" spans="3:10" x14ac:dyDescent="0.25">
      <c r="C8" s="4">
        <v>1</v>
      </c>
      <c r="D8" s="5">
        <v>30000000</v>
      </c>
      <c r="E8" s="5">
        <f>D8 + D8*0.05</f>
        <v>31500000</v>
      </c>
      <c r="G8">
        <v>1</v>
      </c>
      <c r="H8" s="6">
        <v>100</v>
      </c>
      <c r="I8" t="s">
        <v>7</v>
      </c>
    </row>
    <row r="9" spans="3:10" x14ac:dyDescent="0.25">
      <c r="C9">
        <v>2</v>
      </c>
      <c r="D9" s="5">
        <f t="shared" ref="D9:D40" si="0">E8 + 30000000</f>
        <v>61500000</v>
      </c>
      <c r="E9" s="5">
        <f>D9 + D9*0.05</f>
        <v>64575000</v>
      </c>
      <c r="G9">
        <v>2</v>
      </c>
      <c r="H9" s="7">
        <f xml:space="preserve"> H8 * 1.15 + 100</f>
        <v>215</v>
      </c>
    </row>
    <row r="10" spans="3:10" x14ac:dyDescent="0.25">
      <c r="C10">
        <v>3</v>
      </c>
      <c r="D10" s="5">
        <f t="shared" si="0"/>
        <v>94575000</v>
      </c>
      <c r="E10" s="5">
        <f t="shared" ref="E10:E43" si="1">D10 + D10*0.05</f>
        <v>99303750</v>
      </c>
      <c r="G10">
        <v>3</v>
      </c>
      <c r="H10" s="7">
        <f t="shared" ref="H10:H43" si="2" xml:space="preserve"> H9 * 1.15 + 100</f>
        <v>347.25</v>
      </c>
    </row>
    <row r="11" spans="3:10" x14ac:dyDescent="0.25">
      <c r="C11">
        <v>4</v>
      </c>
      <c r="D11" s="5">
        <f t="shared" si="0"/>
        <v>129303750</v>
      </c>
      <c r="E11" s="5">
        <f t="shared" si="1"/>
        <v>135768937.5</v>
      </c>
      <c r="G11">
        <v>4</v>
      </c>
      <c r="H11" s="7">
        <f t="shared" si="2"/>
        <v>499.33749999999998</v>
      </c>
    </row>
    <row r="12" spans="3:10" x14ac:dyDescent="0.25">
      <c r="C12">
        <v>5</v>
      </c>
      <c r="D12" s="5">
        <f t="shared" si="0"/>
        <v>165768937.5</v>
      </c>
      <c r="E12" s="5">
        <f t="shared" si="1"/>
        <v>174057384.375</v>
      </c>
      <c r="G12">
        <v>5</v>
      </c>
      <c r="H12" s="7">
        <f t="shared" si="2"/>
        <v>674.23812499999997</v>
      </c>
    </row>
    <row r="13" spans="3:10" x14ac:dyDescent="0.25">
      <c r="C13">
        <v>6</v>
      </c>
      <c r="D13" s="5">
        <f t="shared" si="0"/>
        <v>204057384.375</v>
      </c>
      <c r="E13" s="5">
        <f t="shared" si="1"/>
        <v>214260253.59375</v>
      </c>
      <c r="G13">
        <v>6</v>
      </c>
      <c r="H13" s="7">
        <f t="shared" si="2"/>
        <v>875.37384374999988</v>
      </c>
    </row>
    <row r="14" spans="3:10" x14ac:dyDescent="0.25">
      <c r="C14">
        <v>7</v>
      </c>
      <c r="D14" s="5">
        <f t="shared" si="0"/>
        <v>244260253.59375</v>
      </c>
      <c r="E14" s="5">
        <f t="shared" si="1"/>
        <v>256473266.2734375</v>
      </c>
      <c r="G14">
        <v>7</v>
      </c>
      <c r="H14" s="7">
        <f t="shared" si="2"/>
        <v>1106.6799203124997</v>
      </c>
    </row>
    <row r="15" spans="3:10" x14ac:dyDescent="0.25">
      <c r="C15">
        <v>8</v>
      </c>
      <c r="D15" s="5">
        <f t="shared" si="0"/>
        <v>286473266.2734375</v>
      </c>
      <c r="E15" s="5">
        <f t="shared" si="1"/>
        <v>300796929.58710939</v>
      </c>
      <c r="G15">
        <v>8</v>
      </c>
      <c r="H15" s="7">
        <f t="shared" si="2"/>
        <v>1372.6819083593746</v>
      </c>
    </row>
    <row r="16" spans="3:10" x14ac:dyDescent="0.25">
      <c r="C16">
        <v>9</v>
      </c>
      <c r="D16" s="5">
        <f t="shared" si="0"/>
        <v>330796929.58710939</v>
      </c>
      <c r="E16" s="5">
        <f t="shared" si="1"/>
        <v>347336776.06646484</v>
      </c>
      <c r="G16">
        <v>9</v>
      </c>
      <c r="H16" s="7">
        <f t="shared" si="2"/>
        <v>1678.5841946132807</v>
      </c>
    </row>
    <row r="17" spans="3:8" x14ac:dyDescent="0.25">
      <c r="C17" s="4">
        <v>10</v>
      </c>
      <c r="D17" s="5">
        <f t="shared" si="0"/>
        <v>377336776.06646484</v>
      </c>
      <c r="E17" s="5">
        <f t="shared" si="1"/>
        <v>396203614.86978811</v>
      </c>
      <c r="G17">
        <v>10</v>
      </c>
      <c r="H17" s="7">
        <f t="shared" si="2"/>
        <v>2030.3718238052727</v>
      </c>
    </row>
    <row r="18" spans="3:8" x14ac:dyDescent="0.25">
      <c r="C18">
        <v>11</v>
      </c>
      <c r="D18" s="5">
        <f t="shared" si="0"/>
        <v>426203614.86978811</v>
      </c>
      <c r="E18" s="5">
        <f t="shared" si="1"/>
        <v>447513795.61327749</v>
      </c>
      <c r="G18">
        <v>11</v>
      </c>
      <c r="H18" s="7">
        <f t="shared" si="2"/>
        <v>2434.9275973760632</v>
      </c>
    </row>
    <row r="19" spans="3:8" x14ac:dyDescent="0.25">
      <c r="C19">
        <v>12</v>
      </c>
      <c r="D19" s="5">
        <f t="shared" si="0"/>
        <v>477513795.61327749</v>
      </c>
      <c r="E19" s="5">
        <f t="shared" si="1"/>
        <v>501389485.3939414</v>
      </c>
      <c r="G19">
        <v>12</v>
      </c>
      <c r="H19" s="7">
        <f t="shared" si="2"/>
        <v>2900.1667369824727</v>
      </c>
    </row>
    <row r="20" spans="3:8" x14ac:dyDescent="0.25">
      <c r="C20">
        <v>13</v>
      </c>
      <c r="D20" s="5">
        <f t="shared" si="0"/>
        <v>531389485.3939414</v>
      </c>
      <c r="E20" s="5">
        <f t="shared" si="1"/>
        <v>557958959.66363847</v>
      </c>
      <c r="G20">
        <v>13</v>
      </c>
      <c r="H20" s="7">
        <f t="shared" si="2"/>
        <v>3435.1917475298433</v>
      </c>
    </row>
    <row r="21" spans="3:8" x14ac:dyDescent="0.25">
      <c r="C21">
        <v>14</v>
      </c>
      <c r="D21" s="5">
        <f t="shared" si="0"/>
        <v>587958959.66363847</v>
      </c>
      <c r="E21" s="5">
        <f t="shared" si="1"/>
        <v>617356907.64682043</v>
      </c>
      <c r="G21">
        <v>14</v>
      </c>
      <c r="H21" s="7">
        <f t="shared" si="2"/>
        <v>4050.4705096593193</v>
      </c>
    </row>
    <row r="22" spans="3:8" x14ac:dyDescent="0.25">
      <c r="C22">
        <v>15</v>
      </c>
      <c r="D22" s="5">
        <f t="shared" si="0"/>
        <v>647356907.64682043</v>
      </c>
      <c r="E22" s="5">
        <f t="shared" si="1"/>
        <v>679724753.02916145</v>
      </c>
      <c r="G22">
        <v>15</v>
      </c>
      <c r="H22" s="7">
        <f t="shared" si="2"/>
        <v>4758.0410861082164</v>
      </c>
    </row>
    <row r="23" spans="3:8" x14ac:dyDescent="0.25">
      <c r="C23">
        <v>16</v>
      </c>
      <c r="D23" s="5">
        <f t="shared" si="0"/>
        <v>709724753.02916145</v>
      </c>
      <c r="E23" s="5">
        <f t="shared" si="1"/>
        <v>745210990.68061948</v>
      </c>
      <c r="G23">
        <v>16</v>
      </c>
      <c r="H23" s="7">
        <f t="shared" si="2"/>
        <v>5571.7472490244481</v>
      </c>
    </row>
    <row r="24" spans="3:8" x14ac:dyDescent="0.25">
      <c r="C24">
        <v>17</v>
      </c>
      <c r="D24" s="5">
        <f t="shared" si="0"/>
        <v>775210990.68061948</v>
      </c>
      <c r="E24" s="5">
        <f t="shared" si="1"/>
        <v>813971540.21465039</v>
      </c>
      <c r="G24">
        <v>17</v>
      </c>
      <c r="H24" s="7">
        <f t="shared" si="2"/>
        <v>6507.5093363781152</v>
      </c>
    </row>
    <row r="25" spans="3:8" x14ac:dyDescent="0.25">
      <c r="C25">
        <v>18</v>
      </c>
      <c r="D25" s="5">
        <f t="shared" si="0"/>
        <v>843971540.21465039</v>
      </c>
      <c r="E25" s="5">
        <f t="shared" si="1"/>
        <v>886170117.22538292</v>
      </c>
      <c r="G25">
        <v>18</v>
      </c>
      <c r="H25" s="7">
        <f t="shared" si="2"/>
        <v>7583.6357368348317</v>
      </c>
    </row>
    <row r="26" spans="3:8" x14ac:dyDescent="0.25">
      <c r="C26">
        <v>19</v>
      </c>
      <c r="D26" s="5">
        <f t="shared" si="0"/>
        <v>916170117.22538292</v>
      </c>
      <c r="E26" s="5">
        <f t="shared" si="1"/>
        <v>961978623.08665204</v>
      </c>
      <c r="G26">
        <v>19</v>
      </c>
      <c r="H26" s="7">
        <f t="shared" si="2"/>
        <v>8821.181097360055</v>
      </c>
    </row>
    <row r="27" spans="3:8" x14ac:dyDescent="0.25">
      <c r="C27" s="4">
        <v>20</v>
      </c>
      <c r="D27" s="5">
        <f t="shared" si="0"/>
        <v>991978623.08665204</v>
      </c>
      <c r="E27" s="5">
        <f t="shared" si="1"/>
        <v>1041577554.2409847</v>
      </c>
      <c r="G27">
        <v>20</v>
      </c>
      <c r="H27" s="7">
        <f t="shared" si="2"/>
        <v>10244.358261964062</v>
      </c>
    </row>
    <row r="28" spans="3:8" x14ac:dyDescent="0.25">
      <c r="C28">
        <v>21</v>
      </c>
      <c r="D28" s="5">
        <f t="shared" si="0"/>
        <v>1071577554.2409847</v>
      </c>
      <c r="E28" s="5">
        <f t="shared" si="1"/>
        <v>1125156431.9530339</v>
      </c>
      <c r="G28">
        <v>21</v>
      </c>
      <c r="H28" s="7">
        <f t="shared" si="2"/>
        <v>11881.01200125867</v>
      </c>
    </row>
    <row r="29" spans="3:8" x14ac:dyDescent="0.25">
      <c r="C29">
        <v>22</v>
      </c>
      <c r="D29" s="5">
        <f t="shared" si="0"/>
        <v>1155156431.9530339</v>
      </c>
      <c r="E29" s="5">
        <f t="shared" si="1"/>
        <v>1212914253.5506856</v>
      </c>
      <c r="G29">
        <v>22</v>
      </c>
      <c r="H29" s="7">
        <f t="shared" si="2"/>
        <v>13763.16380144747</v>
      </c>
    </row>
    <row r="30" spans="3:8" x14ac:dyDescent="0.25">
      <c r="C30">
        <v>23</v>
      </c>
      <c r="D30" s="5">
        <f t="shared" si="0"/>
        <v>1242914253.5506856</v>
      </c>
      <c r="E30" s="5">
        <f t="shared" si="1"/>
        <v>1305059966.22822</v>
      </c>
      <c r="G30">
        <v>23</v>
      </c>
      <c r="H30" s="7">
        <f t="shared" si="2"/>
        <v>15927.638371664589</v>
      </c>
    </row>
    <row r="31" spans="3:8" x14ac:dyDescent="0.25">
      <c r="C31">
        <v>24</v>
      </c>
      <c r="D31" s="5">
        <f t="shared" si="0"/>
        <v>1335059966.22822</v>
      </c>
      <c r="E31" s="5">
        <f t="shared" si="1"/>
        <v>1401812964.5396309</v>
      </c>
      <c r="G31" s="4">
        <v>24</v>
      </c>
      <c r="H31" s="7">
        <f t="shared" si="2"/>
        <v>18416.784127414274</v>
      </c>
    </row>
    <row r="32" spans="3:8" x14ac:dyDescent="0.25">
      <c r="C32">
        <v>25</v>
      </c>
      <c r="D32" s="5">
        <f t="shared" si="0"/>
        <v>1431812964.5396309</v>
      </c>
      <c r="E32" s="5">
        <f t="shared" si="1"/>
        <v>1503403612.7666125</v>
      </c>
      <c r="G32">
        <v>25</v>
      </c>
      <c r="H32" s="7">
        <f t="shared" si="2"/>
        <v>21279.301746526413</v>
      </c>
    </row>
    <row r="33" spans="3:9" x14ac:dyDescent="0.25">
      <c r="C33">
        <v>26</v>
      </c>
      <c r="D33" s="5">
        <f t="shared" si="0"/>
        <v>1533403612.7666125</v>
      </c>
      <c r="E33" s="5">
        <f t="shared" si="1"/>
        <v>1610073793.4049432</v>
      </c>
      <c r="G33">
        <v>26</v>
      </c>
      <c r="H33" s="7">
        <f t="shared" si="2"/>
        <v>24571.197008505373</v>
      </c>
    </row>
    <row r="34" spans="3:9" x14ac:dyDescent="0.25">
      <c r="C34">
        <v>27</v>
      </c>
      <c r="D34" s="5">
        <f t="shared" si="0"/>
        <v>1640073793.4049432</v>
      </c>
      <c r="E34" s="5">
        <f t="shared" si="1"/>
        <v>1722077483.0751903</v>
      </c>
      <c r="G34">
        <v>27</v>
      </c>
      <c r="H34" s="7">
        <f t="shared" si="2"/>
        <v>28356.876559781176</v>
      </c>
    </row>
    <row r="35" spans="3:9" x14ac:dyDescent="0.25">
      <c r="C35">
        <v>28</v>
      </c>
      <c r="D35" s="5">
        <f t="shared" si="0"/>
        <v>1752077483.0751903</v>
      </c>
      <c r="E35" s="5">
        <f t="shared" si="1"/>
        <v>1839681357.2289498</v>
      </c>
      <c r="G35">
        <v>28</v>
      </c>
      <c r="H35" s="7">
        <f t="shared" si="2"/>
        <v>32710.40804374835</v>
      </c>
    </row>
    <row r="36" spans="3:9" x14ac:dyDescent="0.25">
      <c r="C36">
        <v>29</v>
      </c>
      <c r="D36" s="5">
        <f t="shared" si="0"/>
        <v>1869681357.2289498</v>
      </c>
      <c r="E36" s="5">
        <f t="shared" si="1"/>
        <v>1963165425.0903974</v>
      </c>
      <c r="G36">
        <v>29</v>
      </c>
      <c r="H36" s="7">
        <f t="shared" si="2"/>
        <v>37716.969250310598</v>
      </c>
    </row>
    <row r="37" spans="3:9" x14ac:dyDescent="0.25">
      <c r="C37" s="4">
        <v>30</v>
      </c>
      <c r="D37" s="5">
        <f t="shared" si="0"/>
        <v>1993165425.0903974</v>
      </c>
      <c r="E37" s="5">
        <f t="shared" si="1"/>
        <v>2092823696.3449173</v>
      </c>
      <c r="G37">
        <v>30</v>
      </c>
      <c r="H37" s="7">
        <f t="shared" si="2"/>
        <v>43474.514637857181</v>
      </c>
    </row>
    <row r="38" spans="3:9" x14ac:dyDescent="0.25">
      <c r="C38">
        <v>31</v>
      </c>
      <c r="D38" s="5">
        <f t="shared" si="0"/>
        <v>2122823696.3449173</v>
      </c>
      <c r="E38" s="5">
        <f t="shared" si="1"/>
        <v>2228964881.1621633</v>
      </c>
      <c r="G38">
        <v>31</v>
      </c>
      <c r="H38" s="7">
        <f t="shared" si="2"/>
        <v>50095.691833535755</v>
      </c>
    </row>
    <row r="39" spans="3:9" x14ac:dyDescent="0.25">
      <c r="C39">
        <v>32</v>
      </c>
      <c r="D39" s="5">
        <f t="shared" si="0"/>
        <v>2258964881.1621633</v>
      </c>
      <c r="E39" s="5">
        <f t="shared" si="1"/>
        <v>2371913125.2202716</v>
      </c>
      <c r="G39">
        <v>32</v>
      </c>
      <c r="H39" s="7">
        <f t="shared" si="2"/>
        <v>57710.045608566114</v>
      </c>
    </row>
    <row r="40" spans="3:9" x14ac:dyDescent="0.25">
      <c r="C40">
        <v>33</v>
      </c>
      <c r="D40" s="5">
        <f t="shared" si="0"/>
        <v>2401913125.2202716</v>
      </c>
      <c r="E40" s="5">
        <f t="shared" si="1"/>
        <v>2522008781.4812851</v>
      </c>
      <c r="G40">
        <v>33</v>
      </c>
      <c r="H40" s="7">
        <f t="shared" si="2"/>
        <v>66466.55244985102</v>
      </c>
    </row>
    <row r="41" spans="3:9" x14ac:dyDescent="0.25">
      <c r="C41">
        <v>34</v>
      </c>
      <c r="D41" s="5">
        <f t="shared" ref="D41:D43" si="3">E40 + 30000000</f>
        <v>2552008781.4812851</v>
      </c>
      <c r="E41" s="5">
        <f t="shared" si="1"/>
        <v>2679609220.5553493</v>
      </c>
      <c r="G41">
        <v>34</v>
      </c>
      <c r="H41" s="7">
        <f t="shared" si="2"/>
        <v>76536.535317328671</v>
      </c>
    </row>
    <row r="42" spans="3:9" x14ac:dyDescent="0.25">
      <c r="C42">
        <v>35</v>
      </c>
      <c r="D42" s="5">
        <f t="shared" si="3"/>
        <v>2709609220.5553493</v>
      </c>
      <c r="E42" s="5">
        <f t="shared" si="1"/>
        <v>2845089681.583117</v>
      </c>
      <c r="G42">
        <v>35</v>
      </c>
      <c r="H42" s="7">
        <f t="shared" si="2"/>
        <v>88117.015614927965</v>
      </c>
    </row>
    <row r="43" spans="3:9" x14ac:dyDescent="0.25">
      <c r="C43">
        <v>36</v>
      </c>
      <c r="D43" s="5">
        <f t="shared" si="3"/>
        <v>2875089681.583117</v>
      </c>
      <c r="E43" s="5">
        <f t="shared" si="1"/>
        <v>3018844165.6622729</v>
      </c>
      <c r="G43" s="4">
        <v>36</v>
      </c>
      <c r="H43" s="7">
        <f t="shared" si="2"/>
        <v>101434.56795716715</v>
      </c>
      <c r="I43" t="s">
        <v>10</v>
      </c>
    </row>
    <row r="44" spans="3:9" x14ac:dyDescent="0.25">
      <c r="C44">
        <v>37</v>
      </c>
      <c r="D44" s="5">
        <f t="shared" ref="D44:D68" si="4">E43 + 30000000</f>
        <v>3048844165.6622729</v>
      </c>
      <c r="E44" s="5">
        <f t="shared" ref="E44:E68" si="5">D44 + D44*0.05</f>
        <v>3201286373.9453864</v>
      </c>
      <c r="G44">
        <v>37</v>
      </c>
      <c r="H44" s="7">
        <f t="shared" ref="H44:H68" si="6" xml:space="preserve"> H43 * 1.15 + 100</f>
        <v>116749.75315074221</v>
      </c>
    </row>
    <row r="45" spans="3:9" x14ac:dyDescent="0.25">
      <c r="C45">
        <v>38</v>
      </c>
      <c r="D45" s="5">
        <f t="shared" si="4"/>
        <v>3231286373.9453864</v>
      </c>
      <c r="E45" s="5">
        <f t="shared" si="5"/>
        <v>3392850692.6426558</v>
      </c>
      <c r="G45" s="4">
        <v>38</v>
      </c>
      <c r="H45" s="7">
        <f t="shared" si="6"/>
        <v>134362.21612335354</v>
      </c>
    </row>
    <row r="46" spans="3:9" x14ac:dyDescent="0.25">
      <c r="C46">
        <v>39</v>
      </c>
      <c r="D46" s="5">
        <f t="shared" si="4"/>
        <v>3422850692.6426558</v>
      </c>
      <c r="E46" s="5">
        <f t="shared" si="5"/>
        <v>3593993227.2747889</v>
      </c>
      <c r="G46">
        <v>39</v>
      </c>
      <c r="H46" s="7">
        <f t="shared" si="6"/>
        <v>154616.54854185655</v>
      </c>
    </row>
    <row r="47" spans="3:9" x14ac:dyDescent="0.25">
      <c r="C47">
        <v>40</v>
      </c>
      <c r="D47" s="5">
        <f t="shared" si="4"/>
        <v>3623993227.2747889</v>
      </c>
      <c r="E47" s="5">
        <f t="shared" si="5"/>
        <v>3805192888.6385283</v>
      </c>
      <c r="G47" s="4">
        <v>40</v>
      </c>
      <c r="H47" s="7">
        <f t="shared" si="6"/>
        <v>177909.03082313502</v>
      </c>
    </row>
    <row r="48" spans="3:9" x14ac:dyDescent="0.25">
      <c r="C48">
        <v>41</v>
      </c>
      <c r="D48" s="5">
        <f t="shared" si="4"/>
        <v>3835192888.6385283</v>
      </c>
      <c r="E48" s="5">
        <f t="shared" si="5"/>
        <v>4026952533.0704546</v>
      </c>
      <c r="G48">
        <v>41</v>
      </c>
      <c r="H48" s="7">
        <f t="shared" si="6"/>
        <v>204695.38544660527</v>
      </c>
    </row>
    <row r="49" spans="3:8" x14ac:dyDescent="0.25">
      <c r="C49">
        <v>42</v>
      </c>
      <c r="D49" s="5">
        <f t="shared" si="4"/>
        <v>4056952533.0704546</v>
      </c>
      <c r="E49" s="5">
        <f t="shared" si="5"/>
        <v>4259800159.7239771</v>
      </c>
      <c r="G49" s="4">
        <v>42</v>
      </c>
      <c r="H49" s="7">
        <f t="shared" si="6"/>
        <v>235499.69326359604</v>
      </c>
    </row>
    <row r="50" spans="3:8" x14ac:dyDescent="0.25">
      <c r="C50">
        <v>43</v>
      </c>
      <c r="D50" s="5">
        <f t="shared" si="4"/>
        <v>4289800159.7239771</v>
      </c>
      <c r="E50" s="5">
        <f t="shared" si="5"/>
        <v>4504290167.7101755</v>
      </c>
      <c r="G50">
        <v>43</v>
      </c>
      <c r="H50" s="7">
        <f t="shared" si="6"/>
        <v>270924.64725313545</v>
      </c>
    </row>
    <row r="51" spans="3:8" x14ac:dyDescent="0.25">
      <c r="C51">
        <v>44</v>
      </c>
      <c r="D51" s="5">
        <f t="shared" si="4"/>
        <v>4534290167.7101755</v>
      </c>
      <c r="E51" s="5">
        <f t="shared" si="5"/>
        <v>4761004676.0956841</v>
      </c>
      <c r="G51" s="4">
        <v>44</v>
      </c>
      <c r="H51" s="7">
        <f t="shared" si="6"/>
        <v>311663.34434110572</v>
      </c>
    </row>
    <row r="52" spans="3:8" x14ac:dyDescent="0.25">
      <c r="C52">
        <v>45</v>
      </c>
      <c r="D52" s="5">
        <f t="shared" si="4"/>
        <v>4791004676.0956841</v>
      </c>
      <c r="E52" s="5">
        <f t="shared" si="5"/>
        <v>5030554909.9004679</v>
      </c>
      <c r="G52">
        <v>45</v>
      </c>
      <c r="H52" s="7">
        <f t="shared" si="6"/>
        <v>358512.84599227156</v>
      </c>
    </row>
    <row r="53" spans="3:8" x14ac:dyDescent="0.25">
      <c r="C53">
        <v>46</v>
      </c>
      <c r="D53" s="5">
        <f t="shared" si="4"/>
        <v>5060554909.9004679</v>
      </c>
      <c r="E53" s="5">
        <f t="shared" si="5"/>
        <v>5313582655.3954916</v>
      </c>
      <c r="G53" s="4">
        <v>46</v>
      </c>
      <c r="H53" s="7">
        <f t="shared" si="6"/>
        <v>412389.77289111225</v>
      </c>
    </row>
    <row r="54" spans="3:8" x14ac:dyDescent="0.25">
      <c r="C54">
        <v>47</v>
      </c>
      <c r="D54" s="5">
        <f t="shared" si="4"/>
        <v>5343582655.3954916</v>
      </c>
      <c r="E54" s="5">
        <f t="shared" si="5"/>
        <v>5610761788.165266</v>
      </c>
      <c r="G54">
        <v>47</v>
      </c>
      <c r="H54" s="7">
        <f t="shared" si="6"/>
        <v>474348.23882477905</v>
      </c>
    </row>
    <row r="55" spans="3:8" x14ac:dyDescent="0.25">
      <c r="C55">
        <v>48</v>
      </c>
      <c r="D55" s="5">
        <f t="shared" si="4"/>
        <v>5640761788.165266</v>
      </c>
      <c r="E55" s="5">
        <f t="shared" si="5"/>
        <v>5922799877.5735292</v>
      </c>
      <c r="G55" s="4">
        <v>48</v>
      </c>
      <c r="H55" s="7">
        <f t="shared" si="6"/>
        <v>545600.4746484959</v>
      </c>
    </row>
    <row r="56" spans="3:8" x14ac:dyDescent="0.25">
      <c r="C56">
        <v>49</v>
      </c>
      <c r="D56" s="5">
        <f t="shared" si="4"/>
        <v>5952799877.5735292</v>
      </c>
      <c r="E56" s="5">
        <f t="shared" si="5"/>
        <v>6250439871.4522057</v>
      </c>
      <c r="G56">
        <v>49</v>
      </c>
      <c r="H56" s="7">
        <f t="shared" si="6"/>
        <v>627540.54584577028</v>
      </c>
    </row>
    <row r="57" spans="3:8" x14ac:dyDescent="0.25">
      <c r="C57">
        <v>50</v>
      </c>
      <c r="D57" s="5">
        <f t="shared" si="4"/>
        <v>6280439871.4522057</v>
      </c>
      <c r="E57" s="5">
        <f t="shared" si="5"/>
        <v>6594461865.0248156</v>
      </c>
      <c r="G57" s="4">
        <v>50</v>
      </c>
      <c r="H57" s="7">
        <f t="shared" si="6"/>
        <v>721771.62772263575</v>
      </c>
    </row>
    <row r="58" spans="3:8" x14ac:dyDescent="0.25">
      <c r="C58">
        <v>51</v>
      </c>
      <c r="D58" s="5">
        <f t="shared" si="4"/>
        <v>6624461865.0248156</v>
      </c>
      <c r="E58" s="5">
        <f t="shared" si="5"/>
        <v>6955684958.2760563</v>
      </c>
      <c r="G58">
        <v>51</v>
      </c>
      <c r="H58" s="7">
        <f t="shared" si="6"/>
        <v>830137.37188103108</v>
      </c>
    </row>
    <row r="59" spans="3:8" x14ac:dyDescent="0.25">
      <c r="C59">
        <v>52</v>
      </c>
      <c r="D59" s="5">
        <f t="shared" si="4"/>
        <v>6985684958.2760563</v>
      </c>
      <c r="E59" s="5">
        <f t="shared" si="5"/>
        <v>7334969206.1898594</v>
      </c>
      <c r="G59" s="4">
        <v>52</v>
      </c>
      <c r="H59" s="7">
        <f t="shared" si="6"/>
        <v>954757.97766318568</v>
      </c>
    </row>
    <row r="60" spans="3:8" x14ac:dyDescent="0.25">
      <c r="C60">
        <v>53</v>
      </c>
      <c r="D60" s="5">
        <f t="shared" si="4"/>
        <v>7364969206.1898594</v>
      </c>
      <c r="E60" s="5">
        <f t="shared" si="5"/>
        <v>7733217666.4993525</v>
      </c>
      <c r="G60">
        <v>53</v>
      </c>
      <c r="H60" s="7">
        <f t="shared" si="6"/>
        <v>1098071.6743126635</v>
      </c>
    </row>
    <row r="61" spans="3:8" x14ac:dyDescent="0.25">
      <c r="C61">
        <v>54</v>
      </c>
      <c r="D61" s="5">
        <f t="shared" si="4"/>
        <v>7763217666.4993525</v>
      </c>
      <c r="E61" s="5">
        <f t="shared" si="5"/>
        <v>8151378549.8243198</v>
      </c>
      <c r="G61" s="4">
        <v>54</v>
      </c>
      <c r="H61" s="7">
        <f t="shared" si="6"/>
        <v>1262882.425459563</v>
      </c>
    </row>
    <row r="62" spans="3:8" x14ac:dyDescent="0.25">
      <c r="C62">
        <v>55</v>
      </c>
      <c r="D62" s="5">
        <f t="shared" si="4"/>
        <v>8181378549.8243198</v>
      </c>
      <c r="E62" s="5">
        <f t="shared" si="5"/>
        <v>8590447477.3155365</v>
      </c>
      <c r="G62">
        <v>55</v>
      </c>
      <c r="H62" s="7">
        <f t="shared" si="6"/>
        <v>1452414.7892784975</v>
      </c>
    </row>
    <row r="63" spans="3:8" x14ac:dyDescent="0.25">
      <c r="C63">
        <v>56</v>
      </c>
      <c r="D63" s="5">
        <f t="shared" si="4"/>
        <v>8620447477.3155365</v>
      </c>
      <c r="E63" s="5">
        <f t="shared" si="5"/>
        <v>9051469851.1813126</v>
      </c>
      <c r="G63" s="4">
        <v>56</v>
      </c>
      <c r="H63" s="7">
        <f t="shared" si="6"/>
        <v>1670377.0076702719</v>
      </c>
    </row>
    <row r="64" spans="3:8" x14ac:dyDescent="0.25">
      <c r="C64">
        <v>57</v>
      </c>
      <c r="D64" s="5">
        <f t="shared" si="4"/>
        <v>9081469851.1813126</v>
      </c>
      <c r="E64" s="5">
        <f t="shared" si="5"/>
        <v>9535543343.7403774</v>
      </c>
      <c r="G64">
        <v>57</v>
      </c>
      <c r="H64" s="7">
        <f t="shared" si="6"/>
        <v>1921033.5588208125</v>
      </c>
    </row>
    <row r="65" spans="3:9" x14ac:dyDescent="0.25">
      <c r="C65">
        <v>58</v>
      </c>
      <c r="D65" s="5">
        <f t="shared" si="4"/>
        <v>9565543343.7403774</v>
      </c>
      <c r="E65" s="5">
        <f t="shared" si="5"/>
        <v>10043820510.927397</v>
      </c>
      <c r="G65" s="4">
        <v>58</v>
      </c>
      <c r="H65" s="7">
        <f t="shared" si="6"/>
        <v>2209288.5926439343</v>
      </c>
    </row>
    <row r="66" spans="3:9" x14ac:dyDescent="0.25">
      <c r="C66">
        <v>59</v>
      </c>
      <c r="D66" s="5">
        <f t="shared" si="4"/>
        <v>10073820510.927397</v>
      </c>
      <c r="E66" s="5">
        <f t="shared" si="5"/>
        <v>10577511536.473766</v>
      </c>
      <c r="G66">
        <v>59</v>
      </c>
      <c r="H66" s="7">
        <f t="shared" si="6"/>
        <v>2540781.8815405243</v>
      </c>
    </row>
    <row r="67" spans="3:9" x14ac:dyDescent="0.25">
      <c r="C67">
        <v>60</v>
      </c>
      <c r="D67" s="5">
        <f t="shared" si="4"/>
        <v>10607511536.473766</v>
      </c>
      <c r="E67" s="5">
        <f t="shared" si="5"/>
        <v>11137887113.297455</v>
      </c>
      <c r="G67" s="4">
        <v>60</v>
      </c>
      <c r="H67" s="7">
        <f t="shared" si="6"/>
        <v>2921999.1637716028</v>
      </c>
      <c r="I67" t="s">
        <v>11</v>
      </c>
    </row>
    <row r="68" spans="3:9" x14ac:dyDescent="0.25">
      <c r="C68">
        <v>61</v>
      </c>
      <c r="D68" s="5">
        <f t="shared" si="4"/>
        <v>11167887113.297455</v>
      </c>
      <c r="E68" s="5">
        <f t="shared" si="5"/>
        <v>11726281468.962328</v>
      </c>
      <c r="G68">
        <v>61</v>
      </c>
      <c r="H68" s="7">
        <f t="shared" si="6"/>
        <v>3360399.0383373429</v>
      </c>
    </row>
  </sheetData>
  <mergeCells count="1">
    <mergeCell ref="H5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2026-08-07T13:59:43Z</dcterms:modified>
</cp:coreProperties>
</file>