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H78" i="1" l="1"/>
  <c r="H79" i="1"/>
  <c r="H68" i="1"/>
  <c r="H69" i="1" s="1"/>
  <c r="H70" i="1" s="1"/>
  <c r="H71" i="1" s="1"/>
  <c r="H72" i="1" s="1"/>
  <c r="H73" i="1" s="1"/>
  <c r="H74" i="1" s="1"/>
  <c r="H75" i="1" s="1"/>
  <c r="H76" i="1" s="1"/>
  <c r="H77" i="1" s="1"/>
  <c r="H44" i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11" i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10" i="1"/>
  <c r="H9" i="1"/>
  <c r="E10" i="1"/>
  <c r="E9" i="1"/>
  <c r="E8" i="1"/>
  <c r="D9" i="1" l="1"/>
  <c r="D10" i="1" l="1"/>
  <c r="D11" i="1" l="1"/>
  <c r="D12" i="1" l="1"/>
  <c r="E11" i="1"/>
  <c r="D13" i="1" l="1"/>
  <c r="E13" i="1" s="1"/>
  <c r="D14" i="1" s="1"/>
  <c r="E14" i="1" s="1"/>
  <c r="D15" i="1" s="1"/>
  <c r="E15" i="1" s="1"/>
  <c r="E12" i="1"/>
  <c r="D16" i="1" l="1"/>
  <c r="E16" i="1" s="1"/>
  <c r="D17" i="1" l="1"/>
  <c r="E17" i="1" l="1"/>
  <c r="D18" i="1" s="1"/>
  <c r="E18" i="1" s="1"/>
  <c r="D19" i="1" s="1"/>
  <c r="E19" i="1" s="1"/>
  <c r="D20" i="1" l="1"/>
  <c r="E20" i="1" s="1"/>
  <c r="D21" i="1" l="1"/>
  <c r="E21" i="1" s="1"/>
  <c r="D22" i="1" l="1"/>
  <c r="E22" i="1" s="1"/>
  <c r="D23" i="1" l="1"/>
  <c r="E23" i="1" s="1"/>
  <c r="D24" i="1" l="1"/>
  <c r="E24" i="1" s="1"/>
  <c r="D25" i="1" l="1"/>
  <c r="E25" i="1" s="1"/>
  <c r="D26" i="1" l="1"/>
  <c r="E26" i="1" s="1"/>
  <c r="D27" i="1" l="1"/>
  <c r="E27" i="1" s="1"/>
  <c r="D28" i="1" l="1"/>
  <c r="E28" i="1" s="1"/>
  <c r="D29" i="1" l="1"/>
  <c r="E29" i="1" s="1"/>
  <c r="D30" i="1" l="1"/>
  <c r="E30" i="1" s="1"/>
  <c r="D31" i="1" l="1"/>
  <c r="E31" i="1" s="1"/>
  <c r="D32" i="1" l="1"/>
  <c r="E32" i="1" s="1"/>
  <c r="D33" i="1" l="1"/>
  <c r="E33" i="1" s="1"/>
  <c r="D34" i="1" l="1"/>
  <c r="E34" i="1" s="1"/>
  <c r="D35" i="1" l="1"/>
  <c r="E35" i="1" s="1"/>
  <c r="D36" i="1" l="1"/>
  <c r="E36" i="1" s="1"/>
  <c r="D37" i="1" l="1"/>
  <c r="E37" i="1" s="1"/>
  <c r="D38" i="1" l="1"/>
  <c r="E38" i="1" s="1"/>
  <c r="D39" i="1" l="1"/>
  <c r="E39" i="1" s="1"/>
  <c r="D40" i="1" l="1"/>
  <c r="E40" i="1" s="1"/>
  <c r="D41" i="1" l="1"/>
  <c r="E41" i="1" s="1"/>
  <c r="D42" i="1" l="1"/>
  <c r="E42" i="1" s="1"/>
  <c r="D43" i="1" l="1"/>
  <c r="E43" i="1" s="1"/>
  <c r="D44" i="1" l="1"/>
  <c r="E44" i="1" s="1"/>
  <c r="D45" i="1" l="1"/>
  <c r="E45" i="1" s="1"/>
  <c r="D46" i="1" l="1"/>
  <c r="E46" i="1" s="1"/>
  <c r="D47" i="1" l="1"/>
  <c r="E47" i="1" s="1"/>
  <c r="D48" i="1" l="1"/>
  <c r="E48" i="1" s="1"/>
  <c r="D49" i="1" l="1"/>
  <c r="E49" i="1" s="1"/>
  <c r="D50" i="1" l="1"/>
  <c r="E50" i="1" s="1"/>
  <c r="D51" i="1" l="1"/>
  <c r="E51" i="1" s="1"/>
  <c r="D52" i="1" l="1"/>
  <c r="E52" i="1" s="1"/>
  <c r="D53" i="1" l="1"/>
  <c r="E53" i="1" s="1"/>
  <c r="D54" i="1" l="1"/>
  <c r="E54" i="1" s="1"/>
  <c r="D55" i="1" l="1"/>
  <c r="E55" i="1" s="1"/>
  <c r="D56" i="1" l="1"/>
  <c r="E56" i="1" s="1"/>
  <c r="D57" i="1" l="1"/>
  <c r="E57" i="1" s="1"/>
  <c r="D58" i="1" l="1"/>
  <c r="E58" i="1" s="1"/>
  <c r="D59" i="1" l="1"/>
  <c r="E59" i="1" s="1"/>
  <c r="D60" i="1" l="1"/>
  <c r="E60" i="1" s="1"/>
  <c r="D61" i="1" l="1"/>
  <c r="E61" i="1" s="1"/>
  <c r="D62" i="1" l="1"/>
  <c r="E62" i="1" s="1"/>
  <c r="D63" i="1" l="1"/>
  <c r="E63" i="1" s="1"/>
  <c r="D64" i="1" l="1"/>
  <c r="E64" i="1" s="1"/>
  <c r="D65" i="1" l="1"/>
  <c r="E65" i="1" s="1"/>
  <c r="D66" i="1" l="1"/>
  <c r="E66" i="1" s="1"/>
  <c r="D67" i="1" l="1"/>
  <c r="E67" i="1" s="1"/>
  <c r="D68" i="1" l="1"/>
  <c r="E68" i="1" s="1"/>
  <c r="D69" i="1" l="1"/>
  <c r="E69" i="1" s="1"/>
  <c r="D70" i="1" l="1"/>
  <c r="E70" i="1" s="1"/>
  <c r="D71" i="1" l="1"/>
  <c r="E71" i="1" s="1"/>
  <c r="D72" i="1" l="1"/>
  <c r="E72" i="1" s="1"/>
  <c r="D73" i="1" l="1"/>
  <c r="E73" i="1" s="1"/>
  <c r="D74" i="1" l="1"/>
  <c r="E74" i="1" s="1"/>
  <c r="D75" i="1" l="1"/>
  <c r="E75" i="1" s="1"/>
  <c r="D76" i="1" l="1"/>
  <c r="E76" i="1" s="1"/>
  <c r="D77" i="1" l="1"/>
  <c r="E77" i="1" s="1"/>
</calcChain>
</file>

<file path=xl/sharedStrings.xml><?xml version="1.0" encoding="utf-8"?>
<sst xmlns="http://schemas.openxmlformats.org/spreadsheetml/2006/main" count="13" uniqueCount="13">
  <si>
    <t>Năm</t>
  </si>
  <si>
    <t>Tháng 12</t>
  </si>
  <si>
    <t>Tháng  6</t>
  </si>
  <si>
    <t>Mỗi tháng bỏ ra 5 triệu VNĐ</t>
  </si>
  <si>
    <t>Lãi suất 5%/ 6 tháng</t>
  </si>
  <si>
    <t>lãi suất ngân hàng 7%/ tháng</t>
  </si>
  <si>
    <t>Tháng</t>
  </si>
  <si>
    <t>&lt;=&gt; FX</t>
  </si>
  <si>
    <t>~ 730 tr</t>
  </si>
  <si>
    <t>vốn khởi đầu</t>
  </si>
  <si>
    <t>Mỗi tháng bỏ 
200USD trade ( 1 jack)</t>
  </si>
  <si>
    <t>VNĐ</t>
  </si>
  <si>
    <t>3,76 tỉ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</si>
</sst>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horizontal="right" vertical="center"/>
    </xf>
    <xf numFmtId="0" fontId="0" fillId="2" borderId="0" xfId="0" applyFill="1"/>
    <xf numFmtId="42" fontId="0" fillId="0" borderId="0" xfId="1" applyNumberFormat="1" applyFont="1"/>
    <xf numFmtId="42" fontId="0" fillId="0" borderId="0" xfId="1" applyNumberFormat="1" applyFont="1" applyAlignment="1">
      <alignment horizontal="right"/>
    </xf>
    <xf numFmtId="42" fontId="0" fillId="0" borderId="0" xfId="0" applyNumberFormat="1" applyAlignment="1">
      <alignment horizontal="right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41" fontId="0" fillId="0" borderId="0" xfId="2" applyNumberFormat="1" applyFont="1"/>
  </cellXfs>
  <cellStyles count="3">
    <cellStyle name="Comma" xfId="2" builtinId="3"/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J79"/>
  <sheetViews>
    <sheetView tabSelected="1" topLeftCell="A61" zoomScale="145" zoomScaleNormal="145" workbookViewId="0">
      <selection activeCell="I67" sqref="I67"/>
    </sheetView>
  </sheetViews>
  <sheetFormatPr defaultRowHeight="15" x14ac:dyDescent="0.25"/>
  <cols>
    <col min="4" max="4" width="26.140625" customWidth="1"/>
    <col min="5" max="5" width="22.85546875" customWidth="1"/>
    <col min="7" max="7" width="10.42578125" customWidth="1"/>
    <col min="8" max="8" width="20.28515625" customWidth="1"/>
    <col min="9" max="9" width="27.7109375" customWidth="1"/>
    <col min="10" max="10" width="19.7109375" customWidth="1"/>
  </cols>
  <sheetData>
    <row r="5" spans="3:10" x14ac:dyDescent="0.25">
      <c r="D5" s="1" t="s">
        <v>3</v>
      </c>
      <c r="E5" s="3" t="s">
        <v>4</v>
      </c>
      <c r="F5" s="2"/>
      <c r="H5" s="9" t="s">
        <v>10</v>
      </c>
      <c r="I5" s="2" t="s">
        <v>5</v>
      </c>
      <c r="J5" t="s">
        <v>7</v>
      </c>
    </row>
    <row r="6" spans="3:10" x14ac:dyDescent="0.25">
      <c r="H6" s="8"/>
    </row>
    <row r="7" spans="3:10" x14ac:dyDescent="0.25">
      <c r="C7" t="s">
        <v>0</v>
      </c>
      <c r="D7" t="s">
        <v>2</v>
      </c>
      <c r="E7" t="s">
        <v>1</v>
      </c>
      <c r="G7" t="s">
        <v>6</v>
      </c>
    </row>
    <row r="8" spans="3:10" x14ac:dyDescent="0.25">
      <c r="C8" s="4">
        <v>1</v>
      </c>
      <c r="D8" s="5">
        <v>30000000</v>
      </c>
      <c r="E8" s="5">
        <f>D8 + D8*0.05</f>
        <v>31500000</v>
      </c>
      <c r="G8">
        <v>1</v>
      </c>
      <c r="H8" s="6">
        <v>100</v>
      </c>
      <c r="I8" t="s">
        <v>9</v>
      </c>
    </row>
    <row r="9" spans="3:10" x14ac:dyDescent="0.25">
      <c r="C9">
        <v>2</v>
      </c>
      <c r="D9" s="5">
        <f t="shared" ref="D9:D40" si="0">E8 + 30000000</f>
        <v>61500000</v>
      </c>
      <c r="E9" s="5">
        <f>D9 + D9*0.05</f>
        <v>64575000</v>
      </c>
      <c r="G9">
        <v>2</v>
      </c>
      <c r="H9" s="7">
        <f xml:space="preserve"> H8 * 1.07 + 200</f>
        <v>307</v>
      </c>
    </row>
    <row r="10" spans="3:10" x14ac:dyDescent="0.25">
      <c r="C10">
        <v>3</v>
      </c>
      <c r="D10" s="5">
        <f t="shared" si="0"/>
        <v>94575000</v>
      </c>
      <c r="E10" s="5">
        <f t="shared" ref="E10:E73" si="1">D10 + D10*0.05</f>
        <v>99303750</v>
      </c>
      <c r="G10">
        <v>3</v>
      </c>
      <c r="H10" s="7">
        <f xml:space="preserve"> H9 * 1.07 + 200</f>
        <v>528.49</v>
      </c>
    </row>
    <row r="11" spans="3:10" x14ac:dyDescent="0.25">
      <c r="C11">
        <v>4</v>
      </c>
      <c r="D11" s="5">
        <f t="shared" si="0"/>
        <v>129303750</v>
      </c>
      <c r="E11" s="5">
        <f t="shared" si="1"/>
        <v>135768937.5</v>
      </c>
      <c r="G11">
        <v>4</v>
      </c>
      <c r="H11" s="7">
        <f t="shared" ref="H11:H74" si="2" xml:space="preserve"> H10 * 1.07 + 200</f>
        <v>765.48430000000008</v>
      </c>
    </row>
    <row r="12" spans="3:10" x14ac:dyDescent="0.25">
      <c r="C12">
        <v>5</v>
      </c>
      <c r="D12" s="5">
        <f t="shared" si="0"/>
        <v>165768937.5</v>
      </c>
      <c r="E12" s="5">
        <f t="shared" si="1"/>
        <v>174057384.375</v>
      </c>
      <c r="G12">
        <v>5</v>
      </c>
      <c r="H12" s="7">
        <f t="shared" si="2"/>
        <v>1019.0682010000002</v>
      </c>
    </row>
    <row r="13" spans="3:10" x14ac:dyDescent="0.25">
      <c r="C13">
        <v>6</v>
      </c>
      <c r="D13" s="5">
        <f t="shared" si="0"/>
        <v>204057384.375</v>
      </c>
      <c r="E13" s="5">
        <f t="shared" si="1"/>
        <v>214260253.59375</v>
      </c>
      <c r="G13">
        <v>6</v>
      </c>
      <c r="H13" s="7">
        <f t="shared" si="2"/>
        <v>1290.4029750700001</v>
      </c>
    </row>
    <row r="14" spans="3:10" x14ac:dyDescent="0.25">
      <c r="C14">
        <v>7</v>
      </c>
      <c r="D14" s="5">
        <f t="shared" si="0"/>
        <v>244260253.59375</v>
      </c>
      <c r="E14" s="5">
        <f t="shared" si="1"/>
        <v>256473266.2734375</v>
      </c>
      <c r="G14">
        <v>7</v>
      </c>
      <c r="H14" s="7">
        <f t="shared" si="2"/>
        <v>1580.7311833249003</v>
      </c>
    </row>
    <row r="15" spans="3:10" x14ac:dyDescent="0.25">
      <c r="C15">
        <v>8</v>
      </c>
      <c r="D15" s="5">
        <f t="shared" si="0"/>
        <v>286473266.2734375</v>
      </c>
      <c r="E15" s="5">
        <f t="shared" si="1"/>
        <v>300796929.58710939</v>
      </c>
      <c r="G15">
        <v>8</v>
      </c>
      <c r="H15" s="7">
        <f t="shared" si="2"/>
        <v>1891.3823661576434</v>
      </c>
    </row>
    <row r="16" spans="3:10" x14ac:dyDescent="0.25">
      <c r="C16">
        <v>9</v>
      </c>
      <c r="D16" s="5">
        <f t="shared" si="0"/>
        <v>330796929.58710939</v>
      </c>
      <c r="E16" s="5">
        <f t="shared" si="1"/>
        <v>347336776.06646484</v>
      </c>
      <c r="G16">
        <v>9</v>
      </c>
      <c r="H16" s="7">
        <f t="shared" si="2"/>
        <v>2223.7791317886786</v>
      </c>
    </row>
    <row r="17" spans="3:8" x14ac:dyDescent="0.25">
      <c r="C17" s="4">
        <v>10</v>
      </c>
      <c r="D17" s="5">
        <f t="shared" si="0"/>
        <v>377336776.06646484</v>
      </c>
      <c r="E17" s="5">
        <f t="shared" si="1"/>
        <v>396203614.86978811</v>
      </c>
      <c r="G17">
        <v>10</v>
      </c>
      <c r="H17" s="7">
        <f t="shared" si="2"/>
        <v>2579.4436710138862</v>
      </c>
    </row>
    <row r="18" spans="3:8" x14ac:dyDescent="0.25">
      <c r="C18">
        <v>11</v>
      </c>
      <c r="D18" s="5">
        <f t="shared" si="0"/>
        <v>426203614.86978811</v>
      </c>
      <c r="E18" s="5">
        <f t="shared" si="1"/>
        <v>447513795.61327749</v>
      </c>
      <c r="G18">
        <v>11</v>
      </c>
      <c r="H18" s="7">
        <f t="shared" si="2"/>
        <v>2960.0047279848582</v>
      </c>
    </row>
    <row r="19" spans="3:8" x14ac:dyDescent="0.25">
      <c r="C19">
        <v>12</v>
      </c>
      <c r="D19" s="5">
        <f t="shared" si="0"/>
        <v>477513795.61327749</v>
      </c>
      <c r="E19" s="5">
        <f t="shared" si="1"/>
        <v>501389485.3939414</v>
      </c>
      <c r="G19">
        <v>12</v>
      </c>
      <c r="H19" s="7">
        <f t="shared" si="2"/>
        <v>3367.2050589437986</v>
      </c>
    </row>
    <row r="20" spans="3:8" x14ac:dyDescent="0.25">
      <c r="C20">
        <v>13</v>
      </c>
      <c r="D20" s="5">
        <f t="shared" si="0"/>
        <v>531389485.3939414</v>
      </c>
      <c r="E20" s="5">
        <f t="shared" si="1"/>
        <v>557958959.66363847</v>
      </c>
      <c r="G20">
        <v>13</v>
      </c>
      <c r="H20" s="7">
        <f t="shared" si="2"/>
        <v>3802.9094130698645</v>
      </c>
    </row>
    <row r="21" spans="3:8" x14ac:dyDescent="0.25">
      <c r="C21">
        <v>14</v>
      </c>
      <c r="D21" s="5">
        <f t="shared" si="0"/>
        <v>587958959.66363847</v>
      </c>
      <c r="E21" s="5">
        <f t="shared" si="1"/>
        <v>617356907.64682043</v>
      </c>
      <c r="G21">
        <v>14</v>
      </c>
      <c r="H21" s="7">
        <f t="shared" si="2"/>
        <v>4269.1130719847552</v>
      </c>
    </row>
    <row r="22" spans="3:8" x14ac:dyDescent="0.25">
      <c r="C22">
        <v>15</v>
      </c>
      <c r="D22" s="5">
        <f t="shared" si="0"/>
        <v>647356907.64682043</v>
      </c>
      <c r="E22" s="5">
        <f t="shared" si="1"/>
        <v>679724753.02916145</v>
      </c>
      <c r="G22">
        <v>15</v>
      </c>
      <c r="H22" s="7">
        <f t="shared" si="2"/>
        <v>4767.950987023688</v>
      </c>
    </row>
    <row r="23" spans="3:8" x14ac:dyDescent="0.25">
      <c r="C23">
        <v>16</v>
      </c>
      <c r="D23" s="5">
        <f t="shared" si="0"/>
        <v>709724753.02916145</v>
      </c>
      <c r="E23" s="5">
        <f t="shared" si="1"/>
        <v>745210990.68061948</v>
      </c>
      <c r="G23">
        <v>16</v>
      </c>
      <c r="H23" s="7">
        <f t="shared" si="2"/>
        <v>5301.7075561153461</v>
      </c>
    </row>
    <row r="24" spans="3:8" x14ac:dyDescent="0.25">
      <c r="C24">
        <v>17</v>
      </c>
      <c r="D24" s="5">
        <f t="shared" si="0"/>
        <v>775210990.68061948</v>
      </c>
      <c r="E24" s="5">
        <f t="shared" si="1"/>
        <v>813971540.21465039</v>
      </c>
      <c r="G24">
        <v>17</v>
      </c>
      <c r="H24" s="7">
        <f t="shared" si="2"/>
        <v>5872.827085043421</v>
      </c>
    </row>
    <row r="25" spans="3:8" x14ac:dyDescent="0.25">
      <c r="C25">
        <v>18</v>
      </c>
      <c r="D25" s="5">
        <f t="shared" si="0"/>
        <v>843971540.21465039</v>
      </c>
      <c r="E25" s="5">
        <f t="shared" si="1"/>
        <v>886170117.22538292</v>
      </c>
      <c r="G25">
        <v>18</v>
      </c>
      <c r="H25" s="7">
        <f t="shared" si="2"/>
        <v>6483.9249809964613</v>
      </c>
    </row>
    <row r="26" spans="3:8" x14ac:dyDescent="0.25">
      <c r="C26">
        <v>19</v>
      </c>
      <c r="D26" s="5">
        <f t="shared" si="0"/>
        <v>916170117.22538292</v>
      </c>
      <c r="E26" s="5">
        <f t="shared" si="1"/>
        <v>961978623.08665204</v>
      </c>
      <c r="G26">
        <v>19</v>
      </c>
      <c r="H26" s="7">
        <f t="shared" si="2"/>
        <v>7137.7997296662143</v>
      </c>
    </row>
    <row r="27" spans="3:8" x14ac:dyDescent="0.25">
      <c r="C27" s="4">
        <v>20</v>
      </c>
      <c r="D27" s="5">
        <f t="shared" si="0"/>
        <v>991978623.08665204</v>
      </c>
      <c r="E27" s="5">
        <f t="shared" si="1"/>
        <v>1041577554.2409847</v>
      </c>
      <c r="G27">
        <v>20</v>
      </c>
      <c r="H27" s="7">
        <f t="shared" si="2"/>
        <v>7837.4457107428498</v>
      </c>
    </row>
    <row r="28" spans="3:8" x14ac:dyDescent="0.25">
      <c r="C28">
        <v>21</v>
      </c>
      <c r="D28" s="5">
        <f t="shared" si="0"/>
        <v>1071577554.2409847</v>
      </c>
      <c r="E28" s="5">
        <f t="shared" si="1"/>
        <v>1125156431.9530339</v>
      </c>
      <c r="G28">
        <v>21</v>
      </c>
      <c r="H28" s="7">
        <f t="shared" si="2"/>
        <v>8586.0669104948502</v>
      </c>
    </row>
    <row r="29" spans="3:8" x14ac:dyDescent="0.25">
      <c r="C29">
        <v>22</v>
      </c>
      <c r="D29" s="5">
        <f t="shared" si="0"/>
        <v>1155156431.9530339</v>
      </c>
      <c r="E29" s="5">
        <f t="shared" si="1"/>
        <v>1212914253.5506856</v>
      </c>
      <c r="G29">
        <v>22</v>
      </c>
      <c r="H29" s="7">
        <f t="shared" si="2"/>
        <v>9387.0915942294905</v>
      </c>
    </row>
    <row r="30" spans="3:8" x14ac:dyDescent="0.25">
      <c r="C30">
        <v>23</v>
      </c>
      <c r="D30" s="5">
        <f t="shared" si="0"/>
        <v>1242914253.5506856</v>
      </c>
      <c r="E30" s="5">
        <f t="shared" si="1"/>
        <v>1305059966.22822</v>
      </c>
      <c r="G30">
        <v>23</v>
      </c>
      <c r="H30" s="7">
        <f t="shared" si="2"/>
        <v>10244.188005825556</v>
      </c>
    </row>
    <row r="31" spans="3:8" x14ac:dyDescent="0.25">
      <c r="C31">
        <v>24</v>
      </c>
      <c r="D31" s="5">
        <f t="shared" si="0"/>
        <v>1335059966.22822</v>
      </c>
      <c r="E31" s="5">
        <f t="shared" si="1"/>
        <v>1401812964.5396309</v>
      </c>
      <c r="G31" s="4">
        <v>24</v>
      </c>
      <c r="H31" s="7">
        <f t="shared" si="2"/>
        <v>11161.281166233344</v>
      </c>
    </row>
    <row r="32" spans="3:8" x14ac:dyDescent="0.25">
      <c r="C32">
        <v>25</v>
      </c>
      <c r="D32" s="5">
        <f t="shared" si="0"/>
        <v>1431812964.5396309</v>
      </c>
      <c r="E32" s="5">
        <f t="shared" si="1"/>
        <v>1503403612.7666125</v>
      </c>
      <c r="G32">
        <v>25</v>
      </c>
      <c r="H32" s="7">
        <f t="shared" si="2"/>
        <v>12142.57084786968</v>
      </c>
    </row>
    <row r="33" spans="3:9" x14ac:dyDescent="0.25">
      <c r="C33">
        <v>26</v>
      </c>
      <c r="D33" s="5">
        <f t="shared" si="0"/>
        <v>1533403612.7666125</v>
      </c>
      <c r="E33" s="5">
        <f t="shared" si="1"/>
        <v>1610073793.4049432</v>
      </c>
      <c r="G33">
        <v>26</v>
      </c>
      <c r="H33" s="7">
        <f t="shared" si="2"/>
        <v>13192.550807220558</v>
      </c>
    </row>
    <row r="34" spans="3:9" x14ac:dyDescent="0.25">
      <c r="C34">
        <v>27</v>
      </c>
      <c r="D34" s="5">
        <f t="shared" si="0"/>
        <v>1640073793.4049432</v>
      </c>
      <c r="E34" s="5">
        <f t="shared" si="1"/>
        <v>1722077483.0751903</v>
      </c>
      <c r="G34">
        <v>27</v>
      </c>
      <c r="H34" s="7">
        <f t="shared" si="2"/>
        <v>14316.029363725997</v>
      </c>
    </row>
    <row r="35" spans="3:9" x14ac:dyDescent="0.25">
      <c r="C35">
        <v>28</v>
      </c>
      <c r="D35" s="5">
        <f t="shared" si="0"/>
        <v>1752077483.0751903</v>
      </c>
      <c r="E35" s="5">
        <f t="shared" si="1"/>
        <v>1839681357.2289498</v>
      </c>
      <c r="G35">
        <v>28</v>
      </c>
      <c r="H35" s="7">
        <f t="shared" si="2"/>
        <v>15518.151419186817</v>
      </c>
    </row>
    <row r="36" spans="3:9" x14ac:dyDescent="0.25">
      <c r="C36">
        <v>29</v>
      </c>
      <c r="D36" s="5">
        <f t="shared" si="0"/>
        <v>1869681357.2289498</v>
      </c>
      <c r="E36" s="5">
        <f t="shared" si="1"/>
        <v>1963165425.0903974</v>
      </c>
      <c r="G36">
        <v>29</v>
      </c>
      <c r="H36" s="7">
        <f t="shared" si="2"/>
        <v>16804.422018529895</v>
      </c>
    </row>
    <row r="37" spans="3:9" x14ac:dyDescent="0.25">
      <c r="C37" s="4">
        <v>30</v>
      </c>
      <c r="D37" s="5">
        <f t="shared" si="0"/>
        <v>1993165425.0903974</v>
      </c>
      <c r="E37" s="5">
        <f t="shared" si="1"/>
        <v>2092823696.3449173</v>
      </c>
      <c r="G37">
        <v>30</v>
      </c>
      <c r="H37" s="7">
        <f t="shared" si="2"/>
        <v>18180.731559826989</v>
      </c>
    </row>
    <row r="38" spans="3:9" x14ac:dyDescent="0.25">
      <c r="C38">
        <v>31</v>
      </c>
      <c r="D38" s="5">
        <f t="shared" si="0"/>
        <v>2122823696.3449173</v>
      </c>
      <c r="E38" s="5">
        <f t="shared" si="1"/>
        <v>2228964881.1621633</v>
      </c>
      <c r="G38">
        <v>31</v>
      </c>
      <c r="H38" s="7">
        <f t="shared" si="2"/>
        <v>19653.382769014879</v>
      </c>
    </row>
    <row r="39" spans="3:9" x14ac:dyDescent="0.25">
      <c r="C39">
        <v>32</v>
      </c>
      <c r="D39" s="5">
        <f t="shared" si="0"/>
        <v>2258964881.1621633</v>
      </c>
      <c r="E39" s="5">
        <f t="shared" si="1"/>
        <v>2371913125.2202716</v>
      </c>
      <c r="G39">
        <v>32</v>
      </c>
      <c r="H39" s="7">
        <f t="shared" si="2"/>
        <v>21229.119562845921</v>
      </c>
    </row>
    <row r="40" spans="3:9" x14ac:dyDescent="0.25">
      <c r="C40">
        <v>33</v>
      </c>
      <c r="D40" s="5">
        <f t="shared" si="0"/>
        <v>2401913125.2202716</v>
      </c>
      <c r="E40" s="5">
        <f t="shared" si="1"/>
        <v>2522008781.4812851</v>
      </c>
      <c r="G40">
        <v>33</v>
      </c>
      <c r="H40" s="7">
        <f t="shared" si="2"/>
        <v>22915.157932245136</v>
      </c>
    </row>
    <row r="41" spans="3:9" x14ac:dyDescent="0.25">
      <c r="C41">
        <v>34</v>
      </c>
      <c r="D41" s="5">
        <f t="shared" ref="D41:D71" si="3">E40 + 30000000</f>
        <v>2552008781.4812851</v>
      </c>
      <c r="E41" s="5">
        <f t="shared" si="1"/>
        <v>2679609220.5553493</v>
      </c>
      <c r="G41">
        <v>34</v>
      </c>
      <c r="H41" s="7">
        <f t="shared" si="2"/>
        <v>24719.218987502296</v>
      </c>
    </row>
    <row r="42" spans="3:9" x14ac:dyDescent="0.25">
      <c r="C42">
        <v>35</v>
      </c>
      <c r="D42" s="5">
        <f t="shared" si="3"/>
        <v>2709609220.5553493</v>
      </c>
      <c r="E42" s="5">
        <f t="shared" si="1"/>
        <v>2845089681.583117</v>
      </c>
      <c r="G42">
        <v>35</v>
      </c>
      <c r="H42" s="7">
        <f t="shared" si="2"/>
        <v>26649.564316627457</v>
      </c>
    </row>
    <row r="43" spans="3:9" x14ac:dyDescent="0.25">
      <c r="C43">
        <v>36</v>
      </c>
      <c r="D43" s="5">
        <f t="shared" si="3"/>
        <v>2875089681.583117</v>
      </c>
      <c r="E43" s="5">
        <f t="shared" si="1"/>
        <v>3018844165.6622729</v>
      </c>
      <c r="G43" s="4">
        <v>36</v>
      </c>
      <c r="H43" s="7">
        <f t="shared" si="2"/>
        <v>28715.03381879138</v>
      </c>
      <c r="I43" t="s">
        <v>8</v>
      </c>
    </row>
    <row r="44" spans="3:9" x14ac:dyDescent="0.25">
      <c r="C44">
        <v>37</v>
      </c>
      <c r="D44" s="5">
        <f t="shared" si="3"/>
        <v>3048844165.6622729</v>
      </c>
      <c r="E44" s="5">
        <f t="shared" si="1"/>
        <v>3201286373.9453864</v>
      </c>
      <c r="G44">
        <v>37</v>
      </c>
      <c r="H44" s="7">
        <f t="shared" si="2"/>
        <v>30925.086186106779</v>
      </c>
    </row>
    <row r="45" spans="3:9" x14ac:dyDescent="0.25">
      <c r="C45">
        <v>38</v>
      </c>
      <c r="D45" s="5">
        <f t="shared" si="3"/>
        <v>3231286373.9453864</v>
      </c>
      <c r="E45" s="5">
        <f t="shared" si="1"/>
        <v>3392850692.6426558</v>
      </c>
      <c r="G45">
        <v>38</v>
      </c>
      <c r="H45" s="7">
        <f t="shared" si="2"/>
        <v>33289.842219134254</v>
      </c>
    </row>
    <row r="46" spans="3:9" x14ac:dyDescent="0.25">
      <c r="C46">
        <v>39</v>
      </c>
      <c r="D46" s="5">
        <f t="shared" si="3"/>
        <v>3422850692.6426558</v>
      </c>
      <c r="E46" s="5">
        <f t="shared" si="1"/>
        <v>3593993227.2747889</v>
      </c>
      <c r="G46">
        <v>39</v>
      </c>
      <c r="H46" s="7">
        <f t="shared" si="2"/>
        <v>35820.131174473652</v>
      </c>
    </row>
    <row r="47" spans="3:9" x14ac:dyDescent="0.25">
      <c r="C47" s="4">
        <v>40</v>
      </c>
      <c r="D47" s="5">
        <f t="shared" si="3"/>
        <v>3623993227.2747889</v>
      </c>
      <c r="E47" s="5">
        <f t="shared" si="1"/>
        <v>3805192888.6385283</v>
      </c>
      <c r="G47">
        <v>40</v>
      </c>
      <c r="H47" s="7">
        <f t="shared" si="2"/>
        <v>38527.540356686812</v>
      </c>
    </row>
    <row r="48" spans="3:9" x14ac:dyDescent="0.25">
      <c r="C48">
        <v>41</v>
      </c>
      <c r="D48" s="5">
        <f t="shared" si="3"/>
        <v>3835192888.6385283</v>
      </c>
      <c r="E48" s="5">
        <f t="shared" si="1"/>
        <v>4026952533.0704546</v>
      </c>
      <c r="G48">
        <v>41</v>
      </c>
      <c r="H48" s="7">
        <f t="shared" si="2"/>
        <v>41424.468181654891</v>
      </c>
    </row>
    <row r="49" spans="3:8" x14ac:dyDescent="0.25">
      <c r="C49">
        <v>42</v>
      </c>
      <c r="D49" s="5">
        <f t="shared" si="3"/>
        <v>4056952533.0704546</v>
      </c>
      <c r="E49" s="5">
        <f t="shared" si="1"/>
        <v>4259800159.7239771</v>
      </c>
      <c r="G49">
        <v>42</v>
      </c>
      <c r="H49" s="7">
        <f t="shared" si="2"/>
        <v>44524.180954370735</v>
      </c>
    </row>
    <row r="50" spans="3:8" x14ac:dyDescent="0.25">
      <c r="C50">
        <v>43</v>
      </c>
      <c r="D50" s="5">
        <f t="shared" si="3"/>
        <v>4289800159.7239771</v>
      </c>
      <c r="E50" s="5">
        <f t="shared" si="1"/>
        <v>4504290167.7101755</v>
      </c>
      <c r="G50">
        <v>43</v>
      </c>
      <c r="H50" s="7">
        <f t="shared" si="2"/>
        <v>47840.873621176688</v>
      </c>
    </row>
    <row r="51" spans="3:8" x14ac:dyDescent="0.25">
      <c r="C51">
        <v>44</v>
      </c>
      <c r="D51" s="5">
        <f t="shared" si="3"/>
        <v>4534290167.7101755</v>
      </c>
      <c r="E51" s="5">
        <f t="shared" si="1"/>
        <v>4761004676.0956841</v>
      </c>
      <c r="G51">
        <v>44</v>
      </c>
      <c r="H51" s="7">
        <f t="shared" si="2"/>
        <v>51389.73477465906</v>
      </c>
    </row>
    <row r="52" spans="3:8" x14ac:dyDescent="0.25">
      <c r="C52">
        <v>45</v>
      </c>
      <c r="D52" s="5">
        <f t="shared" si="3"/>
        <v>4791004676.0956841</v>
      </c>
      <c r="E52" s="5">
        <f t="shared" si="1"/>
        <v>5030554909.9004679</v>
      </c>
      <c r="G52">
        <v>45</v>
      </c>
      <c r="H52" s="7">
        <f t="shared" si="2"/>
        <v>55187.016208885201</v>
      </c>
    </row>
    <row r="53" spans="3:8" x14ac:dyDescent="0.25">
      <c r="C53">
        <v>46</v>
      </c>
      <c r="D53" s="5">
        <f t="shared" si="3"/>
        <v>5060554909.9004679</v>
      </c>
      <c r="E53" s="5">
        <f t="shared" si="1"/>
        <v>5313582655.3954916</v>
      </c>
      <c r="G53">
        <v>46</v>
      </c>
      <c r="H53" s="7">
        <f t="shared" si="2"/>
        <v>59250.107343507167</v>
      </c>
    </row>
    <row r="54" spans="3:8" x14ac:dyDescent="0.25">
      <c r="C54">
        <v>47</v>
      </c>
      <c r="D54" s="5">
        <f t="shared" si="3"/>
        <v>5343582655.3954916</v>
      </c>
      <c r="E54" s="5">
        <f t="shared" si="1"/>
        <v>5610761788.165266</v>
      </c>
      <c r="G54">
        <v>47</v>
      </c>
      <c r="H54" s="7">
        <f t="shared" si="2"/>
        <v>63597.614857552675</v>
      </c>
    </row>
    <row r="55" spans="3:8" x14ac:dyDescent="0.25">
      <c r="C55">
        <v>48</v>
      </c>
      <c r="D55" s="5">
        <f t="shared" si="3"/>
        <v>5640761788.165266</v>
      </c>
      <c r="E55" s="5">
        <f t="shared" si="1"/>
        <v>5922799877.5735292</v>
      </c>
      <c r="G55" s="4">
        <v>48</v>
      </c>
      <c r="H55" s="7">
        <f t="shared" si="2"/>
        <v>68249.447897581369</v>
      </c>
    </row>
    <row r="56" spans="3:8" x14ac:dyDescent="0.25">
      <c r="C56">
        <v>49</v>
      </c>
      <c r="D56" s="5">
        <f t="shared" si="3"/>
        <v>5952799877.5735292</v>
      </c>
      <c r="E56" s="5">
        <f t="shared" si="1"/>
        <v>6250439871.4522057</v>
      </c>
      <c r="G56">
        <v>49</v>
      </c>
      <c r="H56" s="7">
        <f t="shared" si="2"/>
        <v>73226.909250412064</v>
      </c>
    </row>
    <row r="57" spans="3:8" x14ac:dyDescent="0.25">
      <c r="C57" s="4">
        <v>50</v>
      </c>
      <c r="D57" s="5">
        <f t="shared" si="3"/>
        <v>6280439871.4522057</v>
      </c>
      <c r="E57" s="5">
        <f t="shared" si="1"/>
        <v>6594461865.0248156</v>
      </c>
      <c r="G57">
        <v>50</v>
      </c>
      <c r="H57" s="7">
        <f t="shared" si="2"/>
        <v>78552.792897940919</v>
      </c>
    </row>
    <row r="58" spans="3:8" x14ac:dyDescent="0.25">
      <c r="C58">
        <v>51</v>
      </c>
      <c r="D58" s="5">
        <f t="shared" si="3"/>
        <v>6624461865.0248156</v>
      </c>
      <c r="E58" s="5">
        <f t="shared" si="1"/>
        <v>6955684958.2760563</v>
      </c>
      <c r="G58">
        <v>51</v>
      </c>
      <c r="H58" s="7">
        <f t="shared" si="2"/>
        <v>84251.488400796792</v>
      </c>
    </row>
    <row r="59" spans="3:8" x14ac:dyDescent="0.25">
      <c r="C59">
        <v>52</v>
      </c>
      <c r="D59" s="5">
        <f t="shared" si="3"/>
        <v>6985684958.2760563</v>
      </c>
      <c r="E59" s="5">
        <f t="shared" si="1"/>
        <v>7334969206.1898594</v>
      </c>
      <c r="G59">
        <v>52</v>
      </c>
      <c r="H59" s="7">
        <f t="shared" si="2"/>
        <v>90349.092588852567</v>
      </c>
    </row>
    <row r="60" spans="3:8" x14ac:dyDescent="0.25">
      <c r="C60">
        <v>53</v>
      </c>
      <c r="D60" s="5">
        <f t="shared" si="3"/>
        <v>7364969206.1898594</v>
      </c>
      <c r="E60" s="5">
        <f t="shared" si="1"/>
        <v>7733217666.4993525</v>
      </c>
      <c r="G60">
        <v>53</v>
      </c>
      <c r="H60" s="7">
        <f t="shared" si="2"/>
        <v>96873.529070072254</v>
      </c>
    </row>
    <row r="61" spans="3:8" x14ac:dyDescent="0.25">
      <c r="C61">
        <v>54</v>
      </c>
      <c r="D61" s="5">
        <f t="shared" si="3"/>
        <v>7763217666.4993525</v>
      </c>
      <c r="E61" s="5">
        <f t="shared" si="1"/>
        <v>8151378549.8243198</v>
      </c>
      <c r="G61">
        <v>54</v>
      </c>
      <c r="H61" s="7">
        <f t="shared" si="2"/>
        <v>103854.67610497732</v>
      </c>
    </row>
    <row r="62" spans="3:8" x14ac:dyDescent="0.25">
      <c r="C62">
        <v>55</v>
      </c>
      <c r="D62" s="5">
        <f t="shared" si="3"/>
        <v>8181378549.8243198</v>
      </c>
      <c r="E62" s="5">
        <f t="shared" si="1"/>
        <v>8590447477.3155365</v>
      </c>
      <c r="G62">
        <v>55</v>
      </c>
      <c r="H62" s="7">
        <f t="shared" si="2"/>
        <v>111324.50343232574</v>
      </c>
    </row>
    <row r="63" spans="3:8" x14ac:dyDescent="0.25">
      <c r="C63">
        <v>56</v>
      </c>
      <c r="D63" s="5">
        <f t="shared" si="3"/>
        <v>8620447477.3155365</v>
      </c>
      <c r="E63" s="5">
        <f t="shared" si="1"/>
        <v>9051469851.1813126</v>
      </c>
      <c r="G63">
        <v>56</v>
      </c>
      <c r="H63" s="7">
        <f t="shared" si="2"/>
        <v>119317.21867258855</v>
      </c>
    </row>
    <row r="64" spans="3:8" x14ac:dyDescent="0.25">
      <c r="C64">
        <v>57</v>
      </c>
      <c r="D64" s="5">
        <f t="shared" si="3"/>
        <v>9081469851.1813126</v>
      </c>
      <c r="E64" s="5">
        <f t="shared" si="1"/>
        <v>9535543343.7403774</v>
      </c>
      <c r="G64">
        <v>57</v>
      </c>
      <c r="H64" s="7">
        <f t="shared" si="2"/>
        <v>127869.42397966977</v>
      </c>
    </row>
    <row r="65" spans="3:10" x14ac:dyDescent="0.25">
      <c r="C65">
        <v>58</v>
      </c>
      <c r="D65" s="5">
        <f t="shared" si="3"/>
        <v>9565543343.7403774</v>
      </c>
      <c r="E65" s="5">
        <f t="shared" si="1"/>
        <v>10043820510.927397</v>
      </c>
      <c r="G65">
        <v>58</v>
      </c>
      <c r="H65" s="7">
        <f t="shared" si="2"/>
        <v>137020.28365824666</v>
      </c>
    </row>
    <row r="66" spans="3:10" x14ac:dyDescent="0.25">
      <c r="C66">
        <v>59</v>
      </c>
      <c r="D66" s="5">
        <f t="shared" si="3"/>
        <v>10073820510.927397</v>
      </c>
      <c r="E66" s="5">
        <f t="shared" si="1"/>
        <v>10577511536.473766</v>
      </c>
      <c r="G66">
        <v>59</v>
      </c>
      <c r="H66" s="7">
        <f t="shared" si="2"/>
        <v>146811.70351432392</v>
      </c>
    </row>
    <row r="67" spans="3:10" x14ac:dyDescent="0.25">
      <c r="C67" s="4">
        <v>60</v>
      </c>
      <c r="D67" s="5">
        <f t="shared" si="3"/>
        <v>10607511536.473766</v>
      </c>
      <c r="E67" s="5">
        <f t="shared" si="1"/>
        <v>11137887113.297455</v>
      </c>
      <c r="G67" s="4">
        <v>60</v>
      </c>
      <c r="H67" s="7">
        <f t="shared" si="2"/>
        <v>157288.5227603266</v>
      </c>
      <c r="I67" t="s">
        <v>12</v>
      </c>
    </row>
    <row r="68" spans="3:10" x14ac:dyDescent="0.25">
      <c r="C68">
        <v>61</v>
      </c>
      <c r="D68" s="5">
        <f t="shared" si="3"/>
        <v>11167887113.297455</v>
      </c>
      <c r="E68" s="5">
        <f t="shared" si="1"/>
        <v>11726281468.962328</v>
      </c>
      <c r="G68">
        <v>61</v>
      </c>
      <c r="H68" s="7">
        <f t="shared" si="2"/>
        <v>168498.71935354947</v>
      </c>
    </row>
    <row r="69" spans="3:10" x14ac:dyDescent="0.25">
      <c r="C69">
        <v>62</v>
      </c>
      <c r="D69" s="5">
        <f t="shared" si="3"/>
        <v>11756281468.962328</v>
      </c>
      <c r="E69" s="5">
        <f t="shared" si="1"/>
        <v>12344095542.410444</v>
      </c>
      <c r="G69">
        <v>62</v>
      </c>
      <c r="H69" s="7">
        <f t="shared" si="2"/>
        <v>180493.62970829796</v>
      </c>
    </row>
    <row r="70" spans="3:10" x14ac:dyDescent="0.25">
      <c r="C70">
        <v>63</v>
      </c>
      <c r="D70" s="5">
        <f t="shared" si="3"/>
        <v>12374095542.410444</v>
      </c>
      <c r="E70" s="5">
        <f t="shared" si="1"/>
        <v>12992800319.530966</v>
      </c>
      <c r="G70">
        <v>63</v>
      </c>
      <c r="H70" s="7">
        <f t="shared" si="2"/>
        <v>193328.18378787884</v>
      </c>
    </row>
    <row r="71" spans="3:10" x14ac:dyDescent="0.25">
      <c r="C71">
        <v>64</v>
      </c>
      <c r="D71" s="5">
        <f>E70 + 30000000</f>
        <v>13022800319.530966</v>
      </c>
      <c r="E71" s="5">
        <f t="shared" si="1"/>
        <v>13673940335.507515</v>
      </c>
      <c r="G71">
        <v>64</v>
      </c>
      <c r="H71" s="7">
        <f t="shared" si="2"/>
        <v>207061.15665303037</v>
      </c>
    </row>
    <row r="72" spans="3:10" x14ac:dyDescent="0.25">
      <c r="C72">
        <v>65</v>
      </c>
      <c r="D72" s="5">
        <f>E71 + 30000000</f>
        <v>13703940335.507515</v>
      </c>
      <c r="E72" s="5">
        <f t="shared" si="1"/>
        <v>14389137352.28289</v>
      </c>
      <c r="G72">
        <v>65</v>
      </c>
      <c r="H72" s="7">
        <f t="shared" si="2"/>
        <v>221755.43761874249</v>
      </c>
    </row>
    <row r="73" spans="3:10" x14ac:dyDescent="0.25">
      <c r="C73">
        <v>66</v>
      </c>
      <c r="D73" s="5">
        <f>E72 + 30000000</f>
        <v>14419137352.28289</v>
      </c>
      <c r="E73" s="5">
        <f t="shared" si="1"/>
        <v>15140094219.897036</v>
      </c>
      <c r="G73">
        <v>66</v>
      </c>
      <c r="H73" s="7">
        <f t="shared" si="2"/>
        <v>237478.31825205448</v>
      </c>
    </row>
    <row r="74" spans="3:10" x14ac:dyDescent="0.25">
      <c r="C74">
        <v>67</v>
      </c>
      <c r="D74" s="5">
        <f>E73 + 30000000</f>
        <v>15170094219.897036</v>
      </c>
      <c r="E74" s="5">
        <f t="shared" ref="E74:E77" si="4">D74 + D74*0.05</f>
        <v>15928598930.891888</v>
      </c>
      <c r="G74">
        <v>67</v>
      </c>
      <c r="H74" s="7">
        <f t="shared" si="2"/>
        <v>254301.80052969832</v>
      </c>
    </row>
    <row r="75" spans="3:10" x14ac:dyDescent="0.25">
      <c r="C75">
        <v>68</v>
      </c>
      <c r="D75" s="5">
        <f>E74 + 30000000</f>
        <v>15958598930.891888</v>
      </c>
      <c r="E75" s="5">
        <f t="shared" si="4"/>
        <v>16756528877.436481</v>
      </c>
      <c r="G75">
        <v>68</v>
      </c>
      <c r="H75" s="7">
        <f t="shared" ref="H75:H79" si="5" xml:space="preserve"> H74 * 1.07 + 200</f>
        <v>272302.92656677723</v>
      </c>
    </row>
    <row r="76" spans="3:10" x14ac:dyDescent="0.25">
      <c r="C76">
        <v>69</v>
      </c>
      <c r="D76" s="5">
        <f>E75 + 30000000</f>
        <v>16786528877.436481</v>
      </c>
      <c r="E76" s="5">
        <f t="shared" si="4"/>
        <v>17625855321.308304</v>
      </c>
      <c r="G76">
        <v>69</v>
      </c>
      <c r="H76" s="7">
        <f t="shared" si="5"/>
        <v>291564.13142645167</v>
      </c>
    </row>
    <row r="77" spans="3:10" x14ac:dyDescent="0.25">
      <c r="C77" s="4">
        <v>70</v>
      </c>
      <c r="D77" s="5">
        <f>E76 + 30000000</f>
        <v>17655855321.308304</v>
      </c>
      <c r="E77" s="5">
        <f t="shared" si="4"/>
        <v>18538648087.373718</v>
      </c>
      <c r="G77">
        <v>70</v>
      </c>
      <c r="H77" s="7">
        <f t="shared" si="5"/>
        <v>312173.62062630331</v>
      </c>
    </row>
    <row r="78" spans="3:10" x14ac:dyDescent="0.25">
      <c r="G78">
        <v>71</v>
      </c>
      <c r="H78" s="7">
        <f t="shared" si="5"/>
        <v>334225.77407014457</v>
      </c>
    </row>
    <row r="79" spans="3:10" x14ac:dyDescent="0.25">
      <c r="G79" s="4">
        <v>72</v>
      </c>
      <c r="H79" s="7">
        <f t="shared" si="5"/>
        <v>357821.57825505472</v>
      </c>
      <c r="I79" s="10">
        <v>8555182400</v>
      </c>
      <c r="J79" t="s">
        <v>11</v>
      </c>
    </row>
  </sheetData>
  <mergeCells count="1">
    <mergeCell ref="H5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2025-02-13T09:31:08Z</dcterms:modified>
</cp:coreProperties>
</file>